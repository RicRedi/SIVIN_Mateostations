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e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Meteo Data</t>
        </is>
      </c>
    </row>
    <row r="2">
      <c r="A2" t="inlineStr">
        <is>
          <t>Datum a čas</t>
        </is>
      </c>
      <c r="B2" t="inlineStr">
        <is>
          <t>Teplota (°C)</t>
        </is>
      </c>
      <c r="C2" t="inlineStr">
        <is>
          <t>Vlhkost (%)</t>
        </is>
      </c>
    </row>
    <row r="3">
      <c r="A3" s="1" t="n">
        <v>46027.41670138889</v>
      </c>
      <c r="B3">
        <f>0+6.2</f>
        <v/>
      </c>
      <c r="C3">
        <f>0+81.3</f>
        <v/>
      </c>
    </row>
    <row r="4">
      <c r="A4" s="1" t="n">
        <v>46027.43782407408</v>
      </c>
      <c r="B4">
        <f>0+6.6</f>
        <v/>
      </c>
      <c r="C4">
        <f>0+78.8</f>
        <v/>
      </c>
    </row>
    <row r="5">
      <c r="A5" s="1" t="n">
        <v>46027.45894675926</v>
      </c>
      <c r="B5">
        <f>0+7.7</f>
        <v/>
      </c>
      <c r="C5">
        <f>0+76.1</f>
        <v/>
      </c>
    </row>
    <row r="6">
      <c r="A6" s="1" t="n">
        <v>46027.48006944444</v>
      </c>
      <c r="B6">
        <f>0+8.0</f>
        <v/>
      </c>
      <c r="C6">
        <f>0+74.4</f>
        <v/>
      </c>
    </row>
    <row r="7">
      <c r="A7" s="1" t="n">
        <v>46027.50119212963</v>
      </c>
      <c r="B7">
        <f>0+8.5</f>
        <v/>
      </c>
      <c r="C7">
        <f>0+72.7</f>
        <v/>
      </c>
    </row>
    <row r="8">
      <c r="A8" s="1" t="n">
        <v>46027.52231481481</v>
      </c>
      <c r="B8">
        <f>0+9.3</f>
        <v/>
      </c>
      <c r="C8">
        <f>0+72.8</f>
        <v/>
      </c>
    </row>
    <row r="9">
      <c r="A9" s="1" t="n">
        <v>46027.5434375</v>
      </c>
      <c r="B9">
        <f>0+9.2</f>
        <v/>
      </c>
      <c r="C9">
        <f>0+72.0</f>
        <v/>
      </c>
    </row>
    <row r="10">
      <c r="A10" s="1" t="n">
        <v>46027.56456018519</v>
      </c>
      <c r="B10">
        <f>0+9.3</f>
        <v/>
      </c>
      <c r="C10">
        <f>0+69.9</f>
        <v/>
      </c>
    </row>
    <row r="11">
      <c r="A11" s="1" t="n">
        <v>46027.58568287037</v>
      </c>
      <c r="B11">
        <f>0+10.5</f>
        <v/>
      </c>
      <c r="C11">
        <f>0+67.7</f>
        <v/>
      </c>
    </row>
    <row r="12">
      <c r="A12" s="1" t="n">
        <v>46027.60680555556</v>
      </c>
      <c r="B12">
        <f>0+10.2</f>
        <v/>
      </c>
      <c r="C12">
        <f>0+69.2</f>
        <v/>
      </c>
    </row>
    <row r="13">
      <c r="A13" s="1" t="n">
        <v>46027.62792824074</v>
      </c>
      <c r="B13">
        <f>0+10.6</f>
        <v/>
      </c>
      <c r="C13">
        <f>0+68.4</f>
        <v/>
      </c>
    </row>
    <row r="14">
      <c r="A14" s="1" t="n">
        <v>46027.64905092592</v>
      </c>
      <c r="B14">
        <f>0+11.2</f>
        <v/>
      </c>
      <c r="C14">
        <f>0+66.5</f>
        <v/>
      </c>
    </row>
    <row r="15">
      <c r="A15" s="1" t="n">
        <v>46027.67017361111</v>
      </c>
      <c r="B15">
        <f>0+11.1</f>
        <v/>
      </c>
      <c r="C15">
        <f>0+65.4</f>
        <v/>
      </c>
    </row>
    <row r="16">
      <c r="A16" s="1" t="n">
        <v>46027.6912962963</v>
      </c>
      <c r="B16">
        <f>0+10.9</f>
        <v/>
      </c>
      <c r="C16">
        <f>0+67.5</f>
        <v/>
      </c>
    </row>
    <row r="17">
      <c r="A17" s="1" t="n">
        <v>46027.71241898148</v>
      </c>
      <c r="B17">
        <f>0+10.5</f>
        <v/>
      </c>
      <c r="C17">
        <f>0+70.4</f>
        <v/>
      </c>
    </row>
    <row r="18">
      <c r="A18" s="1" t="n">
        <v>46027.73354166667</v>
      </c>
      <c r="B18">
        <f>0+11.1</f>
        <v/>
      </c>
      <c r="C18">
        <f>0+66.8</f>
        <v/>
      </c>
    </row>
    <row r="19">
      <c r="A19" s="1" t="n">
        <v>46027.75466435185</v>
      </c>
      <c r="B19">
        <f>0+10.0</f>
        <v/>
      </c>
      <c r="C19">
        <f>0+69.4</f>
        <v/>
      </c>
    </row>
    <row r="20">
      <c r="A20" s="1" t="n">
        <v>46027.77578703704</v>
      </c>
      <c r="B20">
        <f>0+9.8</f>
        <v/>
      </c>
      <c r="C20">
        <f>0+70.0</f>
        <v/>
      </c>
    </row>
    <row r="21">
      <c r="A21" s="1" t="n">
        <v>46027.79690972222</v>
      </c>
      <c r="B21">
        <f>0+9.6</f>
        <v/>
      </c>
      <c r="C21">
        <f>0+71.6</f>
        <v/>
      </c>
    </row>
    <row r="22">
      <c r="A22" s="1" t="n">
        <v>46027.81803240741</v>
      </c>
      <c r="B22">
        <f>0+8.9</f>
        <v/>
      </c>
      <c r="C22">
        <f>0+72.2</f>
        <v/>
      </c>
    </row>
    <row r="23">
      <c r="A23" s="1" t="n">
        <v>46027.8391550926</v>
      </c>
      <c r="B23">
        <f>0+7.9</f>
        <v/>
      </c>
      <c r="C23">
        <f>0+73.3</f>
        <v/>
      </c>
    </row>
    <row r="24">
      <c r="A24" s="1" t="n">
        <v>46027.86027777778</v>
      </c>
      <c r="B24">
        <f>0+7.9</f>
        <v/>
      </c>
      <c r="C24">
        <f>0+74.2</f>
        <v/>
      </c>
    </row>
    <row r="25">
      <c r="A25" s="1" t="n">
        <v>46027.88140046296</v>
      </c>
      <c r="B25">
        <f>0+7.2</f>
        <v/>
      </c>
      <c r="C25">
        <f>0+79.6</f>
        <v/>
      </c>
    </row>
    <row r="26">
      <c r="A26" s="1" t="n">
        <v>46027.90252314815</v>
      </c>
      <c r="B26">
        <f>0+6.2</f>
        <v/>
      </c>
      <c r="C26">
        <f>0+81.1</f>
        <v/>
      </c>
    </row>
    <row r="27">
      <c r="A27" s="1" t="n">
        <v>46027.92364583333</v>
      </c>
      <c r="B27">
        <f>0+5.7</f>
        <v/>
      </c>
      <c r="C27">
        <f>0+83.6</f>
        <v/>
      </c>
    </row>
    <row r="28">
      <c r="A28" s="1" t="n">
        <v>46027.94476851852</v>
      </c>
      <c r="B28">
        <f>0+5.3</f>
        <v/>
      </c>
      <c r="C28">
        <f>0+81.2</f>
        <v/>
      </c>
    </row>
    <row r="29">
      <c r="A29" s="1" t="n">
        <v>46027.9658912037</v>
      </c>
      <c r="B29">
        <f>0+4.5</f>
        <v/>
      </c>
      <c r="C29">
        <f>0+81.4</f>
        <v/>
      </c>
    </row>
    <row r="30">
      <c r="A30" s="1" t="n">
        <v>46027.98701388889</v>
      </c>
      <c r="B30">
        <f>0+3.3</f>
        <v/>
      </c>
      <c r="C30">
        <f>0+85.1</f>
        <v/>
      </c>
    </row>
    <row r="31">
      <c r="A31" s="1" t="n">
        <v>46028.00813657408</v>
      </c>
      <c r="B31">
        <f>0+3.2</f>
        <v/>
      </c>
      <c r="C31">
        <f>0+89.3</f>
        <v/>
      </c>
    </row>
    <row r="32">
      <c r="A32" s="1" t="n">
        <v>46028.02925925926</v>
      </c>
      <c r="B32">
        <f>0+3.6</f>
        <v/>
      </c>
      <c r="C32">
        <f>0+88.1</f>
        <v/>
      </c>
    </row>
    <row r="33">
      <c r="A33" s="1" t="n">
        <v>46028.05038194444</v>
      </c>
      <c r="B33">
        <f>0+2.7</f>
        <v/>
      </c>
      <c r="C33">
        <f>0+90.1</f>
        <v/>
      </c>
    </row>
    <row r="34">
      <c r="A34" s="1" t="n">
        <v>46028.07150462963</v>
      </c>
      <c r="B34">
        <f>0+1.7</f>
        <v/>
      </c>
      <c r="C34">
        <f>0+90.5</f>
        <v/>
      </c>
    </row>
    <row r="35">
      <c r="A35" s="1" t="n">
        <v>46028.09262731481</v>
      </c>
      <c r="B35">
        <f>0+1.2</f>
        <v/>
      </c>
      <c r="C35">
        <f>0+90.1</f>
        <v/>
      </c>
    </row>
    <row r="36">
      <c r="A36" s="1" t="n">
        <v>46028.11375</v>
      </c>
      <c r="B36">
        <f>0+1.4</f>
        <v/>
      </c>
      <c r="C36">
        <f>0+92.5</f>
        <v/>
      </c>
    </row>
    <row r="37">
      <c r="A37" s="1" t="n">
        <v>46028.13487268519</v>
      </c>
      <c r="B37">
        <f>0+1.3</f>
        <v/>
      </c>
      <c r="C37">
        <f>0+92.1</f>
        <v/>
      </c>
    </row>
    <row r="38">
      <c r="A38" s="1" t="n">
        <v>46028.15599537037</v>
      </c>
      <c r="B38">
        <f>0+0.8</f>
        <v/>
      </c>
      <c r="C38">
        <f>0+90.4</f>
        <v/>
      </c>
    </row>
    <row r="39">
      <c r="A39" s="1" t="n">
        <v>46028.17711805556</v>
      </c>
      <c r="B39">
        <f>0+1.3</f>
        <v/>
      </c>
      <c r="C39">
        <f>0+93.1</f>
        <v/>
      </c>
    </row>
    <row r="40">
      <c r="A40" s="1" t="n">
        <v>46028.19824074074</v>
      </c>
      <c r="B40">
        <f>0+1.0</f>
        <v/>
      </c>
      <c r="C40">
        <f>0+90.2</f>
        <v/>
      </c>
    </row>
    <row r="41">
      <c r="A41" s="1" t="n">
        <v>46028.21936342592</v>
      </c>
      <c r="B41">
        <f>0+1.4</f>
        <v/>
      </c>
      <c r="C41">
        <f>0+90.8</f>
        <v/>
      </c>
    </row>
    <row r="42">
      <c r="A42" s="1" t="n">
        <v>46028.24048611111</v>
      </c>
      <c r="B42">
        <f>0+1.9</f>
        <v/>
      </c>
      <c r="C42">
        <f>0+92.5</f>
        <v/>
      </c>
    </row>
    <row r="43">
      <c r="A43" s="1" t="n">
        <v>46028.2616087963</v>
      </c>
      <c r="B43">
        <f>0+2.1</f>
        <v/>
      </c>
      <c r="C43">
        <f>0+90.2</f>
        <v/>
      </c>
    </row>
    <row r="44">
      <c r="A44" s="1" t="n">
        <v>46028.28273148148</v>
      </c>
      <c r="B44">
        <f>0+2.1</f>
        <v/>
      </c>
      <c r="C44">
        <f>0+87.9</f>
        <v/>
      </c>
    </row>
    <row r="45">
      <c r="A45" s="1" t="n">
        <v>46028.30385416667</v>
      </c>
      <c r="B45">
        <f>0+2.9</f>
        <v/>
      </c>
      <c r="C45">
        <f>0+87.9</f>
        <v/>
      </c>
    </row>
    <row r="46">
      <c r="A46" s="1" t="n">
        <v>46028.32497685185</v>
      </c>
      <c r="B46">
        <f>0+3.4</f>
        <v/>
      </c>
      <c r="C46">
        <f>0+88.0</f>
        <v/>
      </c>
    </row>
    <row r="47">
      <c r="A47" s="1" t="n">
        <v>46028.34609953704</v>
      </c>
      <c r="B47">
        <f>0+3.7</f>
        <v/>
      </c>
      <c r="C47">
        <f>0+83.2</f>
        <v/>
      </c>
    </row>
    <row r="48">
      <c r="A48" s="1" t="n">
        <v>46028.36722222222</v>
      </c>
      <c r="B48">
        <f>0+4.6</f>
        <v/>
      </c>
      <c r="C48">
        <f>0+84.7</f>
        <v/>
      </c>
    </row>
    <row r="49">
      <c r="A49" s="1" t="n">
        <v>46028.38834490741</v>
      </c>
      <c r="B49">
        <f>0+4.7</f>
        <v/>
      </c>
      <c r="C49">
        <f>0+82.4</f>
        <v/>
      </c>
    </row>
    <row r="50">
      <c r="A50" s="1" t="n">
        <v>46028.4094675926</v>
      </c>
      <c r="B50">
        <f>0+5.9</f>
        <v/>
      </c>
      <c r="C50">
        <f>0+82.6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2026-10-05T12:00:00Z</dcterms:created>
  <dcterms:modified xsi:type="dcterms:W3CDTF">2026-10-05T11:52:02Z</dcterms:modified>
</cp:coreProperties>
</file>